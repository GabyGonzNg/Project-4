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camer\Downloads\"/>
    </mc:Choice>
  </mc:AlternateContent>
  <xr:revisionPtr revIDLastSave="0" documentId="8_{B4670F98-FF57-4B76-A4AD-73ADB72CE104}"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1" l="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AX6" i="11"/>
  <c r="AY6" i="11"/>
  <c r="AZ6" i="11"/>
  <c r="BA6" i="11"/>
  <c r="BB6" i="11"/>
  <c r="BC6" i="11"/>
  <c r="BD6" i="11"/>
  <c r="BE6" i="11"/>
  <c r="BF6" i="11"/>
  <c r="BG6" i="11"/>
  <c r="BH6" i="11"/>
  <c r="BI6" i="11"/>
  <c r="BJ6" i="11"/>
  <c r="BK6" i="11"/>
  <c r="BL6" i="11"/>
  <c r="H7" i="11"/>
  <c r="H8" i="11" l="1"/>
  <c r="H13" i="11" l="1"/>
  <c r="H9" i="11"/>
  <c r="H20" i="11" l="1"/>
  <c r="H23" i="11"/>
  <c r="H22" i="11"/>
  <c r="H10" i="11"/>
  <c r="H21" i="11"/>
  <c r="H14" i="11"/>
  <c r="H15" i="11" l="1"/>
  <c r="H12" i="11"/>
  <c r="H18" i="11" l="1"/>
  <c r="H19" i="11"/>
  <c r="H28" i="11"/>
  <c r="H29" i="11"/>
  <c r="H17" i="11"/>
  <c r="H16" i="11"/>
  <c r="H26" i="11" l="1"/>
  <c r="H27" i="11"/>
  <c r="H24" i="11"/>
  <c r="H25" i="11"/>
</calcChain>
</file>

<file path=xl/sharedStrings.xml><?xml version="1.0" encoding="utf-8"?>
<sst xmlns="http://schemas.openxmlformats.org/spreadsheetml/2006/main" count="64" uniqueCount="52">
  <si>
    <t>Project 5</t>
  </si>
  <si>
    <t>Project start:</t>
  </si>
  <si>
    <t>CIVE 202-150</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</si>
  <si>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</si>
  <si>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</si>
  <si>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</si>
  <si>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</si>
  <si>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</si>
  <si>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</si>
  <si>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</si>
  <si>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</si>
  <si>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</si>
  <si>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</si>
  <si>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Scope of Work</t>
  </si>
  <si>
    <t>All members add</t>
  </si>
  <si>
    <t>Annotated Code</t>
  </si>
  <si>
    <t>Engineering Timesheet</t>
  </si>
  <si>
    <t>Gantt Chart</t>
  </si>
  <si>
    <t>Client Request &amp; Notebook</t>
  </si>
  <si>
    <t>Report</t>
  </si>
  <si>
    <t>Introduction</t>
  </si>
  <si>
    <t>Method</t>
  </si>
  <si>
    <t>Results and Discussion</t>
  </si>
  <si>
    <t>Reference</t>
  </si>
  <si>
    <t>GitHub</t>
  </si>
  <si>
    <t>Link &amp; README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</si>
  <si>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</si>
  <si>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</si>
  <si>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</si>
  <si>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</si>
  <si>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</si>
  <si>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</si>
  <si>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</si>
  <si>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</si>
  <si>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</si>
  <si>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</si>
  <si>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</si>
  <si>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</si>
  <si>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</si>
  <si>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</si>
  <si>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GROUP 4</t>
  </si>
  <si>
    <t>Downloading, cleaning and organizing two state’s data at the Census Tract level from the NRI website</t>
  </si>
  <si>
    <t>Downloading and using the metadata files from NRI to clarify multiple variables in the NRI dataset</t>
  </si>
  <si>
    <t>Downloading and using the SVI dataset from ASTDR</t>
  </si>
  <si>
    <t>Joining multiple datasets together from the NRI database to aid Risk Averse, LLC in future endeavors</t>
  </si>
  <si>
    <t>Handling missing or NA values in the dataset </t>
  </si>
  <si>
    <t>Generating at least two summary tables or figures showing risk scoring by both the NRI definitions and your proposed definition</t>
  </si>
  <si>
    <t>Generate at least one map using GeoPandas that communicates risk information to the client. </t>
  </si>
  <si>
    <t>Cam</t>
  </si>
  <si>
    <t>Ashlee</t>
  </si>
  <si>
    <t>Gavin</t>
  </si>
  <si>
    <t xml:space="preserve">Gabriela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</si>
</sst>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m/d/yy;@"/>
    <numFmt numFmtId="165" formatCode="ddd\,\ m/d/yyyy"/>
    <numFmt numFmtId="166" formatCode="mmm\ d\,\ yyyy"/>
    <numFmt numFmtId="167" formatCode="d"/>
    <numFmt numFmtId="172" formatCode="m/d/yy"/>
    <numFmt numFmtId="173" formatCode="dd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2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
      <left style="thin">
        <color theme="5"/>
      </left>
      <right style="thin">
        <color theme="0" tint="-4.9989318521683403E-2"/>
      </right>
      <top style="thin">
        <color theme="0" tint="-4.9989318521683403E-2"/>
      </top>
      <bottom style="thin">
        <color theme="0" tint="-4.9989318521683403E-2"/>
      </bottom>
      <diagonal/>
    </border>
    <border>
      <left/>
      <right/>
      <top style="thin">
        <color theme="5" tint="0.59999389629810485"/>
      </top>
      <bottom style="thin">
        <color theme="6" tint="0.59996337778862885"/>
      </bottom>
      <diagonal/>
    </border>
    <border>
      <left/>
      <right/>
      <top/>
      <bottom style="thin">
        <color theme="5" tint="0.59999389629810485"/>
      </bottom>
      <diagonal/>
    </border>
    <border>
      <left/>
      <right/>
      <top style="thin">
        <color theme="5" tint="0.59996337778862885"/>
      </top>
      <bottom style="thin">
        <color theme="5" tint="0.59999389629810485"/>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9" fillId="4" borderId="5" xfId="12" applyFont="1" applyFill="1" applyBorder="1" applyAlignment="1">
      <alignment horizontal="left" vertical="center" wrapText="1" indent="2"/>
    </xf>
    <xf numFmtId="164" fontId="19" fillId="14" borderId="6" xfId="10" applyFont="1" applyFill="1" applyBorder="1">
      <alignment horizontal="center" vertical="center"/>
    </xf>
    <xf numFmtId="164" fontId="19" fillId="4" borderId="6" xfId="10" applyFont="1" applyFill="1" applyBorder="1">
      <alignment horizontal="center" vertical="center"/>
    </xf>
    <xf numFmtId="164" fontId="19" fillId="5" borderId="6" xfId="10" applyFont="1" applyFill="1" applyBorder="1">
      <alignment horizontal="center" vertical="center"/>
    </xf>
    <xf numFmtId="164" fontId="19" fillId="15" borderId="6" xfId="10" applyFont="1" applyFill="1" applyBorder="1">
      <alignment horizontal="center" vertical="center"/>
    </xf>
    <xf numFmtId="164" fontId="19" fillId="10" borderId="6" xfId="10" applyFont="1" applyFill="1" applyBorder="1">
      <alignment horizontal="center" vertical="center"/>
    </xf>
    <xf numFmtId="164" fontId="19" fillId="16" borderId="6" xfId="10" applyFont="1" applyFill="1" applyBorder="1">
      <alignment horizontal="center" vertical="center"/>
    </xf>
    <xf numFmtId="0" fontId="2" fillId="0" borderId="0" xfId="1" applyAlignment="1" applyProtection="1">
      <alignment horizontal="left" vertical="top" indent="1"/>
    </xf>
    <xf numFmtId="166" fontId="19" fillId="13" borderId="0" xfId="0" applyNumberFormat="1" applyFont="1" applyFill="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19" fillId="4" borderId="0" xfId="12" applyFont="1" applyFill="1" applyBorder="1" applyAlignment="1">
      <alignment horizontal="left" vertical="center" wrapText="1" indent="2"/>
    </xf>
    <xf numFmtId="0" fontId="4" fillId="0" borderId="24" xfId="0" applyFont="1" applyBorder="1" applyAlignment="1">
      <alignment vertical="center"/>
    </xf>
    <xf numFmtId="0" fontId="23" fillId="8" borderId="25" xfId="0" applyFont="1" applyFill="1" applyBorder="1" applyAlignment="1">
      <alignment horizontal="left" vertical="center" indent="1"/>
    </xf>
    <xf numFmtId="0" fontId="19" fillId="4" borderId="26" xfId="12" applyFont="1" applyFill="1" applyBorder="1" applyAlignment="1">
      <alignment horizontal="left" vertical="center" wrapText="1" indent="2"/>
    </xf>
    <xf numFmtId="0" fontId="19" fillId="4" borderId="27" xfId="12" applyFont="1" applyFill="1" applyBorder="1" applyAlignment="1">
      <alignment horizontal="left" vertical="center" wrapText="1" indent="2"/>
    </xf>
    <xf numFmtId="172" fontId="19" fillId="3" borderId="6" xfId="10" applyNumberFormat="1" applyFont="1" applyFill="1" applyBorder="1">
      <alignment horizontal="center" vertical="center"/>
    </xf>
    <xf numFmtId="172" fontId="19" fillId="4" borderId="5" xfId="10" applyNumberFormat="1" applyFont="1" applyFill="1" applyBorder="1">
      <alignment horizontal="center" vertical="center"/>
    </xf>
    <xf numFmtId="172" fontId="19" fillId="5" borderId="8" xfId="10" applyNumberFormat="1" applyFont="1" applyFill="1" applyBorder="1">
      <alignment horizontal="center" vertical="center"/>
    </xf>
    <xf numFmtId="172" fontId="19" fillId="10" borderId="9" xfId="10" applyNumberFormat="1" applyFont="1" applyFill="1" applyBorder="1">
      <alignment horizontal="center" vertical="center"/>
    </xf>
    <xf numFmtId="173" fontId="21" fillId="12" borderId="20" xfId="0" applyNumberFormat="1" applyFont="1" applyFill="1" applyBorder="1" applyAlignment="1">
      <alignment horizontal="center" vertical="center"/>
    </xf>
    <xf numFmtId="173" fontId="21" fillId="12" borderId="18" xfId="0" applyNumberFormat="1" applyFont="1" applyFill="1" applyBorder="1" applyAlignment="1">
      <alignment horizontal="center" vertical="center"/>
    </xf>
    <xf numFmtId="173" fontId="21" fillId="12" borderId="19" xfId="0" applyNumberFormat="1" applyFont="1" applyFill="1" applyBorder="1" applyAlignment="1">
      <alignment horizontal="center" vertical="center"/>
    </xf>
    <xf numFmtId="173" fontId="21" fillId="13" borderId="0" xfId="0" applyNumberFormat="1" applyFont="1" applyFill="1" applyAlignment="1">
      <alignment horizontal="center" vertical="center"/>
    </xf>
    <xf numFmtId="167" fontId="22" fillId="2" borderId="17" xfId="0" applyNumberFormat="1" applyFont="1" applyFill="1" applyBorder="1" applyAlignment="1">
      <alignment horizontal="center" vertical="center" shrinkToFit="1"/>
    </xf>
    <xf numFmtId="167" fontId="22" fillId="2" borderId="14" xfId="0" applyNumberFormat="1" applyFont="1" applyFill="1" applyBorder="1" applyAlignment="1">
      <alignment horizontal="center" vertical="center" shrinkToFit="1"/>
    </xf>
    <xf numFmtId="167" fontId="22" fillId="2" borderId="15" xfId="0" applyNumberFormat="1" applyFont="1" applyFill="1" applyBorder="1" applyAlignment="1">
      <alignment horizontal="center" vertical="center" shrinkToFit="1"/>
    </xf>
    <xf numFmtId="167" fontId="22" fillId="13" borderId="0" xfId="0" applyNumberFormat="1" applyFont="1" applyFill="1" applyAlignment="1">
      <alignment horizontal="center" vertical="center" shrinkToFit="1"/>
    </xf>
    <xf numFmtId="0" fontId="0" fillId="0" borderId="23" xfId="0" applyBorder="1" applyAlignment="1">
      <alignment vertical="center"/>
    </xf>
    <xf numFmtId="0" fontId="0" fillId="13" borderId="0" xfId="0" applyFill="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5">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fill>
        <patternFill>
          <bgColor theme="8"/>
        </patternFill>
      </fill>
      <border>
        <left/>
        <right/>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2"/>
  <sheetViews>
    <sheetView showGridLines="0" tabSelected="1" showRuler="0" topLeftCell="E17" zoomScaleNormal="100" zoomScalePageLayoutView="70" workbookViewId="0">
      <selection activeCell="E20" sqref="E20"/>
    </sheetView>
  </sheetViews>
  <sheetFormatPr defaultColWidth="8.69921875" defaultRowHeight="30" customHeight="1" x14ac:dyDescent="0.25"/>
  <cols>
    <col min="1" max="1" width="2.69921875" style="13" customWidth="1"/>
    <col min="2" max="2" width="23.89843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9" width="2.69921875" customWidth="1"/>
    <col min="10" max="10" width="3.19921875" customWidth="1"/>
    <col min="11" max="11" width="2.69921875" customWidth="1"/>
    <col min="12" max="12" width="3.3984375" customWidth="1"/>
    <col min="13" max="16" width="2.69921875" customWidth="1"/>
    <col min="17" max="17" width="3.3984375" customWidth="1"/>
    <col min="18" max="18" width="2.69921875" customWidth="1"/>
    <col min="19" max="19" width="3.3984375" customWidth="1"/>
    <col min="20" max="22" width="2.69921875" customWidth="1"/>
    <col min="23" max="24" width="3.19921875" customWidth="1"/>
    <col min="25" max="25" width="2.69921875" customWidth="1"/>
    <col min="26" max="26" width="3.19921875" customWidth="1"/>
    <col min="27" max="30" width="2.69921875" customWidth="1"/>
    <col min="31" max="31" width="3.19921875" customWidth="1"/>
    <col min="32" max="32" width="2.69921875" customWidth="1"/>
    <col min="33" max="33" width="3.19921875" customWidth="1"/>
    <col min="34" max="65" width="2.69921875" customWidth="1"/>
  </cols>
  <sheetData>
    <row r="1" spans="1:64" ht="90" customHeight="1" x14ac:dyDescent="1.45">
      <c r="A1" s="14"/>
      <c r="B1" s="82" t="s">
        <v>0</v>
      </c>
      <c r="C1" s="18"/>
      <c r="D1" s="19"/>
      <c r="E1" s="20"/>
      <c r="F1" s="21"/>
      <c r="H1" s="1"/>
      <c r="I1" s="110" t="s">
        <v>1</v>
      </c>
      <c r="J1" s="111"/>
      <c r="K1" s="111"/>
      <c r="L1" s="111"/>
      <c r="M1" s="111"/>
      <c r="N1" s="111"/>
      <c r="O1" s="111"/>
      <c r="P1" s="24"/>
      <c r="Q1" s="109">
        <v>46115</v>
      </c>
      <c r="R1" s="108"/>
      <c r="S1" s="108"/>
      <c r="T1" s="108"/>
      <c r="U1" s="108"/>
      <c r="V1" s="108"/>
      <c r="W1" s="108"/>
      <c r="X1" s="108"/>
      <c r="Y1" s="108"/>
      <c r="Z1" s="108"/>
    </row>
    <row r="2" spans="1:64" ht="30" customHeight="1" x14ac:dyDescent="0.6">
      <c r="B2" s="80" t="s">
        <v>40</v>
      </c>
      <c r="C2" s="81" t="s">
        <v>2</v>
      </c>
      <c r="D2" s="22"/>
      <c r="E2" s="23"/>
      <c r="F2" s="22"/>
      <c r="I2" s="110" t="s">
        <v>3</v>
      </c>
      <c r="J2" s="111"/>
      <c r="K2" s="111"/>
      <c r="L2" s="111"/>
      <c r="M2" s="111"/>
      <c r="N2" s="111"/>
      <c r="O2" s="111"/>
      <c r="P2" s="24"/>
      <c r="Q2" s="107">
        <v>1</v>
      </c>
      <c r="R2" s="108"/>
      <c r="S2" s="108"/>
      <c r="T2" s="108"/>
      <c r="U2" s="108"/>
      <c r="V2" s="108"/>
      <c r="W2" s="108"/>
      <c r="X2" s="108"/>
      <c r="Y2" s="108"/>
      <c r="Z2" s="108"/>
    </row>
    <row r="3" spans="1:64" s="26" customFormat="1" ht="30" customHeight="1" x14ac:dyDescent="0.25">
      <c r="A3" s="13"/>
      <c r="B3" s="25" t="s">
        <v>4</v>
      </c>
      <c r="D3" s="27"/>
      <c r="E3" s="28"/>
    </row>
    <row r="4" spans="1:64" s="26" customFormat="1" ht="30" customHeight="1" x14ac:dyDescent="0.25">
      <c r="A4" s="14"/>
      <c r="B4" s="100" t="s">
        <v>5</v>
      </c>
      <c r="E4" s="29"/>
      <c r="I4" s="102">
        <v>46110</v>
      </c>
      <c r="J4" s="103"/>
      <c r="K4" s="103"/>
      <c r="L4" s="103"/>
      <c r="M4" s="103"/>
      <c r="N4" s="103"/>
      <c r="O4" s="103"/>
      <c r="P4" s="103">
        <v>46117</v>
      </c>
      <c r="Q4" s="103"/>
      <c r="R4" s="103"/>
      <c r="S4" s="103"/>
      <c r="T4" s="103"/>
      <c r="U4" s="103"/>
      <c r="V4" s="103"/>
      <c r="W4" s="103">
        <v>46124</v>
      </c>
      <c r="X4" s="103"/>
      <c r="Y4" s="103"/>
      <c r="Z4" s="103"/>
      <c r="AA4" s="103"/>
      <c r="AB4" s="103"/>
      <c r="AC4" s="104"/>
      <c r="AD4" s="103">
        <v>46131</v>
      </c>
      <c r="AE4" s="103"/>
      <c r="AF4" s="103"/>
      <c r="AG4" s="103"/>
      <c r="AH4" s="103"/>
      <c r="AI4" s="103"/>
      <c r="AJ4" s="104"/>
      <c r="AK4" s="103"/>
      <c r="AL4" s="103"/>
      <c r="AM4" s="103"/>
      <c r="AN4" s="103"/>
      <c r="AO4" s="103"/>
      <c r="AP4" s="103"/>
      <c r="AQ4" s="104"/>
      <c r="AR4" s="101"/>
      <c r="AS4" s="101"/>
      <c r="AT4" s="101"/>
      <c r="AU4" s="101"/>
      <c r="AV4" s="101"/>
      <c r="AW4" s="101"/>
      <c r="AX4" s="101"/>
      <c r="AY4" s="101"/>
      <c r="AZ4" s="101"/>
      <c r="BA4" s="101"/>
      <c r="BB4" s="101"/>
      <c r="BC4" s="101"/>
      <c r="BD4" s="101"/>
      <c r="BE4" s="101"/>
      <c r="BF4" s="101"/>
      <c r="BG4" s="101"/>
      <c r="BH4" s="101"/>
      <c r="BI4" s="101"/>
      <c r="BJ4" s="101"/>
      <c r="BK4" s="101"/>
      <c r="BL4" s="101"/>
    </row>
    <row r="5" spans="1:64" s="26" customFormat="1" ht="15" customHeight="1" x14ac:dyDescent="0.25">
      <c r="A5" s="112"/>
      <c r="B5" s="113" t="s">
        <v>6</v>
      </c>
      <c r="C5" s="115" t="s">
        <v>7</v>
      </c>
      <c r="D5" s="105" t="s">
        <v>8</v>
      </c>
      <c r="E5" s="105" t="s">
        <v>9</v>
      </c>
      <c r="F5" s="105" t="s">
        <v>10</v>
      </c>
      <c r="I5" s="125">
        <v>46110</v>
      </c>
      <c r="J5" s="125">
        <v>46111</v>
      </c>
      <c r="K5" s="125">
        <v>46112</v>
      </c>
      <c r="L5" s="125">
        <v>46113</v>
      </c>
      <c r="M5" s="125">
        <v>46114</v>
      </c>
      <c r="N5" s="125">
        <v>46115</v>
      </c>
      <c r="O5" s="126">
        <v>46116</v>
      </c>
      <c r="P5" s="127">
        <v>46117</v>
      </c>
      <c r="Q5" s="125">
        <v>46118</v>
      </c>
      <c r="R5" s="125">
        <v>46119</v>
      </c>
      <c r="S5" s="125">
        <v>46120</v>
      </c>
      <c r="T5" s="125">
        <v>46121</v>
      </c>
      <c r="U5" s="125">
        <v>46122</v>
      </c>
      <c r="V5" s="126">
        <v>46123</v>
      </c>
      <c r="W5" s="127">
        <v>46124</v>
      </c>
      <c r="X5" s="125">
        <v>46125</v>
      </c>
      <c r="Y5" s="125">
        <v>46126</v>
      </c>
      <c r="Z5" s="125">
        <v>46127</v>
      </c>
      <c r="AA5" s="125">
        <v>46128</v>
      </c>
      <c r="AB5" s="125">
        <v>46129</v>
      </c>
      <c r="AC5" s="125">
        <v>46130</v>
      </c>
      <c r="AD5" s="125">
        <v>46131</v>
      </c>
      <c r="AE5" s="125">
        <v>46132</v>
      </c>
      <c r="AF5" s="125">
        <v>46133</v>
      </c>
      <c r="AG5" s="125">
        <v>46134</v>
      </c>
      <c r="AH5" s="125">
        <v>46135</v>
      </c>
      <c r="AI5" s="125">
        <v>46136</v>
      </c>
      <c r="AJ5" s="125">
        <v>46137</v>
      </c>
      <c r="AK5" s="125">
        <v>46138</v>
      </c>
      <c r="AL5" s="125">
        <v>46139</v>
      </c>
      <c r="AM5" s="125">
        <v>46140</v>
      </c>
      <c r="AN5" s="125">
        <v>46141</v>
      </c>
      <c r="AO5" s="125">
        <v>46142</v>
      </c>
      <c r="AP5" s="125">
        <v>46143</v>
      </c>
      <c r="AQ5" s="125">
        <v>46144</v>
      </c>
      <c r="AR5" s="128">
        <v>46145</v>
      </c>
      <c r="AS5" s="128">
        <v>46146</v>
      </c>
      <c r="AT5" s="128">
        <v>46147</v>
      </c>
      <c r="AU5" s="128">
        <v>46148</v>
      </c>
      <c r="AV5" s="128">
        <v>46149</v>
      </c>
      <c r="AW5" s="128">
        <v>46150</v>
      </c>
      <c r="AX5" s="128">
        <v>46151</v>
      </c>
      <c r="AY5" s="128">
        <v>46152</v>
      </c>
      <c r="AZ5" s="128">
        <v>46153</v>
      </c>
      <c r="BA5" s="128">
        <v>46154</v>
      </c>
      <c r="BB5" s="128">
        <v>46155</v>
      </c>
      <c r="BC5" s="128">
        <v>46156</v>
      </c>
      <c r="BD5" s="128">
        <v>46157</v>
      </c>
      <c r="BE5" s="128">
        <v>46158</v>
      </c>
      <c r="BF5" s="128">
        <v>46159</v>
      </c>
      <c r="BG5" s="128">
        <v>46160</v>
      </c>
      <c r="BH5" s="128">
        <v>46161</v>
      </c>
      <c r="BI5" s="128">
        <v>46162</v>
      </c>
      <c r="BJ5" s="128">
        <v>46163</v>
      </c>
      <c r="BK5" s="128">
        <v>46164</v>
      </c>
      <c r="BL5" s="128">
        <v>46165</v>
      </c>
    </row>
    <row r="6" spans="1:64" s="26" customFormat="1" ht="15" customHeight="1" thickBot="1" x14ac:dyDescent="0.3">
      <c r="A6" s="112"/>
      <c r="B6" s="114"/>
      <c r="C6" s="106"/>
      <c r="D6" s="106"/>
      <c r="E6" s="106"/>
      <c r="F6" s="106"/>
      <c r="I6" s="129">
        <f>DAY(I5)</f>
        <v>29</v>
      </c>
      <c r="J6" s="130">
        <f>DAY(J5)</f>
        <v>30</v>
      </c>
      <c r="K6" s="130">
        <f>DAY(K5)</f>
        <v>31</v>
      </c>
      <c r="L6" s="130">
        <f>DAY(L5)</f>
        <v>1</v>
      </c>
      <c r="M6" s="130">
        <f>DAY(M5)</f>
        <v>2</v>
      </c>
      <c r="N6" s="130">
        <f>DAY(N5)</f>
        <v>3</v>
      </c>
      <c r="O6" s="130">
        <f>DAY(O5)</f>
        <v>4</v>
      </c>
      <c r="P6" s="130">
        <f>DAY(P5)</f>
        <v>5</v>
      </c>
      <c r="Q6" s="130">
        <f>DAY(Q5)</f>
        <v>6</v>
      </c>
      <c r="R6" s="130">
        <f>DAY(R5)</f>
        <v>7</v>
      </c>
      <c r="S6" s="130">
        <f>DAY(S5)</f>
        <v>8</v>
      </c>
      <c r="T6" s="130">
        <f>DAY(T5)</f>
        <v>9</v>
      </c>
      <c r="U6" s="130">
        <f>DAY(U5)</f>
        <v>10</v>
      </c>
      <c r="V6" s="130">
        <f>DAY(V5)</f>
        <v>11</v>
      </c>
      <c r="W6" s="130">
        <f>DAY(W5)</f>
        <v>12</v>
      </c>
      <c r="X6" s="130">
        <f>DAY(X5)</f>
        <v>13</v>
      </c>
      <c r="Y6" s="130">
        <f>DAY(Y5)</f>
        <v>14</v>
      </c>
      <c r="Z6" s="130">
        <f>DAY(Z5)</f>
        <v>15</v>
      </c>
      <c r="AA6" s="130">
        <f>DAY(AA5)</f>
        <v>16</v>
      </c>
      <c r="AB6" s="130">
        <f>DAY(AB5)</f>
        <v>17</v>
      </c>
      <c r="AC6" s="131">
        <f>DAY(AC5)</f>
        <v>18</v>
      </c>
      <c r="AD6" s="131">
        <f>DAY(AD5)</f>
        <v>19</v>
      </c>
      <c r="AE6" s="131">
        <f>DAY(AE5)</f>
        <v>20</v>
      </c>
      <c r="AF6" s="131">
        <f>DAY(AF5)</f>
        <v>21</v>
      </c>
      <c r="AG6" s="131">
        <f>DAY(AG5)</f>
        <v>22</v>
      </c>
      <c r="AH6" s="131">
        <f>DAY(AH5)</f>
        <v>23</v>
      </c>
      <c r="AI6" s="131">
        <f>DAY(AI5)</f>
        <v>24</v>
      </c>
      <c r="AJ6" s="131">
        <f>DAY(AJ5)</f>
        <v>25</v>
      </c>
      <c r="AK6" s="131">
        <f>DAY(AK5)</f>
        <v>26</v>
      </c>
      <c r="AL6" s="131">
        <f>DAY(AL5)</f>
        <v>27</v>
      </c>
      <c r="AM6" s="131">
        <f>DAY(AM5)</f>
        <v>28</v>
      </c>
      <c r="AN6" s="131">
        <f>DAY(AN5)</f>
        <v>29</v>
      </c>
      <c r="AO6" s="131">
        <f>DAY(AO5)</f>
        <v>30</v>
      </c>
      <c r="AP6" s="131">
        <f>DAY(AP5)</f>
        <v>1</v>
      </c>
      <c r="AQ6" s="131">
        <f>DAY(AQ5)</f>
        <v>2</v>
      </c>
      <c r="AR6" s="132">
        <f>DAY(AR5)</f>
        <v>3</v>
      </c>
      <c r="AS6" s="132">
        <f>DAY(AS5)</f>
        <v>4</v>
      </c>
      <c r="AT6" s="132">
        <f>DAY(AT5)</f>
        <v>5</v>
      </c>
      <c r="AU6" s="132">
        <f>DAY(AU5)</f>
        <v>6</v>
      </c>
      <c r="AV6" s="132">
        <f>DAY(AV5)</f>
        <v>7</v>
      </c>
      <c r="AW6" s="132">
        <f>DAY(AW5)</f>
        <v>8</v>
      </c>
      <c r="AX6" s="132">
        <f>DAY(AX5)</f>
        <v>9</v>
      </c>
      <c r="AY6" s="132">
        <f>DAY(AY5)</f>
        <v>10</v>
      </c>
      <c r="AZ6" s="132">
        <f>DAY(AZ5)</f>
        <v>11</v>
      </c>
      <c r="BA6" s="132">
        <f>DAY(BA5)</f>
        <v>12</v>
      </c>
      <c r="BB6" s="132">
        <f>DAY(BB5)</f>
        <v>13</v>
      </c>
      <c r="BC6" s="132">
        <f>DAY(BC5)</f>
        <v>14</v>
      </c>
      <c r="BD6" s="132">
        <f>DAY(BD5)</f>
        <v>15</v>
      </c>
      <c r="BE6" s="132">
        <f>DAY(BE5)</f>
        <v>16</v>
      </c>
      <c r="BF6" s="132">
        <f>DAY(BF5)</f>
        <v>17</v>
      </c>
      <c r="BG6" s="132">
        <f>DAY(BG5)</f>
        <v>18</v>
      </c>
      <c r="BH6" s="132">
        <f>DAY(BH5)</f>
        <v>19</v>
      </c>
      <c r="BI6" s="132">
        <f>DAY(BI5)</f>
        <v>20</v>
      </c>
      <c r="BJ6" s="132">
        <f>DAY(BJ5)</f>
        <v>21</v>
      </c>
      <c r="BK6" s="132">
        <f>DAY(BK5)</f>
        <v>22</v>
      </c>
      <c r="BL6" s="132">
        <f>DAY(BL5)</f>
        <v>23</v>
      </c>
    </row>
    <row r="7" spans="1:64" s="26" customFormat="1" ht="30" hidden="1" customHeight="1" thickBot="1" x14ac:dyDescent="0.3">
      <c r="A7" s="13" t="s">
        <v>11</v>
      </c>
      <c r="B7" s="30"/>
      <c r="C7" s="31"/>
      <c r="D7" s="30"/>
      <c r="E7" s="30"/>
      <c r="F7" s="30"/>
      <c r="H7" s="26" t="str">
        <f>IF(OR(ISBLANK(task_start),ISBLANK(task_end)),"",task_end-task_start+1)</f>
        <v/>
      </c>
      <c r="I7" s="32"/>
      <c r="J7" s="32"/>
      <c r="K7" s="32"/>
      <c r="L7" s="32"/>
      <c r="M7" s="32"/>
      <c r="N7" s="32"/>
      <c r="O7" s="32"/>
      <c r="P7" s="32"/>
      <c r="Q7" s="32"/>
      <c r="R7" s="32"/>
      <c r="S7" s="32"/>
      <c r="T7" s="32"/>
      <c r="U7" s="32"/>
      <c r="V7" s="32"/>
      <c r="W7" s="32"/>
      <c r="X7" s="32"/>
      <c r="Y7" s="32"/>
      <c r="Z7" s="32"/>
      <c r="AA7" s="32"/>
      <c r="AB7" s="32"/>
      <c r="AC7" s="91"/>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row>
    <row r="8" spans="1:64" s="39" customFormat="1" ht="30" customHeight="1" thickBot="1" x14ac:dyDescent="0.3">
      <c r="A8" s="14"/>
      <c r="B8" s="33" t="s">
        <v>12</v>
      </c>
      <c r="C8" s="34"/>
      <c r="D8" s="35"/>
      <c r="E8" s="36"/>
      <c r="F8" s="37"/>
      <c r="G8" s="17"/>
      <c r="H8" s="5" t="str">
        <f t="shared" ref="H8:H29" si="0">IF(OR(ISBLANK(task_start),ISBLANK(task_end)),"",task_end-task_start+1)</f>
        <v/>
      </c>
      <c r="I8" s="38"/>
      <c r="J8" s="38"/>
      <c r="K8" s="38"/>
      <c r="L8" s="38"/>
      <c r="M8" s="38"/>
      <c r="N8" s="38"/>
      <c r="O8" s="38"/>
      <c r="P8" s="38"/>
      <c r="Q8" s="38"/>
      <c r="R8" s="38"/>
      <c r="S8" s="38"/>
      <c r="T8" s="38"/>
      <c r="U8" s="38"/>
      <c r="V8" s="38"/>
      <c r="W8" s="38"/>
      <c r="X8" s="38"/>
      <c r="Y8" s="38"/>
      <c r="Z8" s="38"/>
      <c r="AA8" s="38"/>
      <c r="AB8" s="38"/>
      <c r="AC8" s="38"/>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row>
    <row r="9" spans="1:64" s="39" customFormat="1" ht="30" customHeight="1" thickBot="1" x14ac:dyDescent="0.3">
      <c r="A9" s="14"/>
      <c r="B9" s="40" t="s">
        <v>13</v>
      </c>
      <c r="C9" s="41" t="s">
        <v>50</v>
      </c>
      <c r="D9" s="42">
        <v>1</v>
      </c>
      <c r="E9" s="43">
        <v>46130</v>
      </c>
      <c r="F9" s="121">
        <v>46132</v>
      </c>
      <c r="G9" s="17"/>
      <c r="H9" s="5">
        <f t="shared" si="0"/>
        <v>3</v>
      </c>
      <c r="I9" s="44"/>
      <c r="J9" s="44"/>
      <c r="K9" s="44"/>
      <c r="L9" s="44"/>
      <c r="M9" s="44"/>
      <c r="N9" s="44"/>
      <c r="O9" s="44"/>
      <c r="P9" s="44"/>
      <c r="Q9" s="44"/>
      <c r="R9" s="44"/>
      <c r="S9" s="44"/>
      <c r="T9" s="44"/>
      <c r="U9" s="44"/>
      <c r="V9" s="44"/>
      <c r="W9" s="44"/>
      <c r="X9" s="44"/>
      <c r="Y9" s="44"/>
      <c r="Z9" s="44"/>
      <c r="AA9" s="44"/>
      <c r="AB9" s="44"/>
      <c r="AC9" s="133"/>
      <c r="AD9" s="134"/>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row>
    <row r="10" spans="1:64" s="39" customFormat="1" ht="30" customHeight="1" x14ac:dyDescent="0.25">
      <c r="A10" s="14"/>
      <c r="B10" s="45" t="s">
        <v>15</v>
      </c>
      <c r="C10" s="46" t="s">
        <v>50</v>
      </c>
      <c r="D10" s="47">
        <v>1</v>
      </c>
      <c r="E10" s="43">
        <v>46130</v>
      </c>
      <c r="F10" s="121">
        <v>46132</v>
      </c>
      <c r="G10" s="17"/>
      <c r="H10" s="5">
        <f t="shared" si="0"/>
        <v>3</v>
      </c>
      <c r="I10" s="44"/>
      <c r="J10" s="44"/>
      <c r="K10" s="44"/>
      <c r="L10" s="44"/>
      <c r="M10" s="44"/>
      <c r="N10" s="44"/>
      <c r="O10" s="44"/>
      <c r="P10" s="44"/>
      <c r="Q10" s="44"/>
      <c r="R10" s="44"/>
      <c r="S10" s="44"/>
      <c r="T10" s="44"/>
      <c r="U10" s="48"/>
      <c r="V10" s="48"/>
      <c r="W10" s="44"/>
      <c r="X10" s="44"/>
      <c r="Y10" s="44"/>
      <c r="Z10" s="44"/>
      <c r="AA10" s="44"/>
      <c r="AB10" s="44"/>
      <c r="AC10" s="92"/>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0"/>
      <c r="BK10" s="90"/>
      <c r="BL10" s="90"/>
    </row>
    <row r="11" spans="1:64" s="39" customFormat="1" ht="30" customHeight="1" x14ac:dyDescent="0.25">
      <c r="A11" s="14"/>
      <c r="B11" s="45" t="s">
        <v>16</v>
      </c>
      <c r="C11" s="46" t="s">
        <v>48</v>
      </c>
      <c r="D11" s="47">
        <v>1</v>
      </c>
      <c r="E11" s="43">
        <v>46131</v>
      </c>
      <c r="F11" s="121">
        <v>46133</v>
      </c>
      <c r="G11" s="17"/>
      <c r="H11" s="5"/>
      <c r="I11" s="44"/>
      <c r="J11" s="44"/>
      <c r="K11" s="44"/>
      <c r="L11" s="44"/>
      <c r="M11" s="44"/>
      <c r="N11" s="44"/>
      <c r="O11" s="44"/>
      <c r="P11" s="44"/>
      <c r="Q11" s="44"/>
      <c r="R11" s="44"/>
      <c r="S11" s="44"/>
      <c r="T11" s="44"/>
      <c r="U11" s="48"/>
      <c r="V11" s="48"/>
      <c r="W11" s="44"/>
      <c r="X11" s="44"/>
      <c r="Y11" s="44"/>
      <c r="Z11" s="44"/>
      <c r="AA11" s="44"/>
      <c r="AB11" s="44"/>
      <c r="AC11" s="92"/>
      <c r="AD11" s="134"/>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row>
    <row r="12" spans="1:64" s="39" customFormat="1" ht="30" customHeight="1" x14ac:dyDescent="0.25">
      <c r="A12" s="13"/>
      <c r="B12" s="45" t="s">
        <v>17</v>
      </c>
      <c r="C12" s="46" t="s">
        <v>48</v>
      </c>
      <c r="D12" s="47">
        <v>1</v>
      </c>
      <c r="E12" s="43">
        <v>46131</v>
      </c>
      <c r="F12" s="121">
        <v>46133</v>
      </c>
      <c r="G12" s="17"/>
      <c r="H12" s="5">
        <f t="shared" si="0"/>
        <v>3</v>
      </c>
      <c r="I12" s="44"/>
      <c r="J12" s="44"/>
      <c r="K12" s="44"/>
      <c r="L12" s="44"/>
      <c r="M12" s="44"/>
      <c r="N12" s="44"/>
      <c r="O12" s="44"/>
      <c r="P12" s="44"/>
      <c r="Q12" s="44"/>
      <c r="R12" s="44"/>
      <c r="S12" s="44"/>
      <c r="T12" s="44"/>
      <c r="U12" s="44"/>
      <c r="V12" s="44"/>
      <c r="W12" s="44"/>
      <c r="X12" s="44"/>
      <c r="Y12" s="44"/>
      <c r="Z12" s="44"/>
      <c r="AA12" s="44"/>
      <c r="AB12" s="44"/>
      <c r="AC12" s="92"/>
      <c r="AD12" s="133"/>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row>
    <row r="13" spans="1:64" s="39" customFormat="1" ht="30" customHeight="1" thickBot="1" x14ac:dyDescent="0.3">
      <c r="A13" s="14"/>
      <c r="B13" s="49" t="s">
        <v>18</v>
      </c>
      <c r="C13" s="50"/>
      <c r="D13" s="51"/>
      <c r="E13" s="94"/>
      <c r="F13" s="52"/>
      <c r="G13" s="17"/>
      <c r="H13" s="5" t="str">
        <f t="shared" si="0"/>
        <v/>
      </c>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row>
    <row r="14" spans="1:64" s="39" customFormat="1" ht="57" customHeight="1" thickBot="1" x14ac:dyDescent="0.3">
      <c r="A14" s="14"/>
      <c r="B14" s="93" t="s">
        <v>41</v>
      </c>
      <c r="C14" s="53" t="s">
        <v>49</v>
      </c>
      <c r="D14" s="54">
        <v>1</v>
      </c>
      <c r="E14" s="95">
        <v>46130</v>
      </c>
      <c r="F14" s="122">
        <v>46132</v>
      </c>
      <c r="G14" s="17"/>
      <c r="H14" s="5">
        <f t="shared" si="0"/>
        <v>3</v>
      </c>
      <c r="I14" s="44"/>
      <c r="J14" s="44"/>
      <c r="K14" s="44"/>
      <c r="L14" s="44"/>
      <c r="M14" s="44"/>
      <c r="N14" s="44"/>
      <c r="O14" s="44"/>
      <c r="P14" s="44"/>
      <c r="Q14" s="44"/>
      <c r="R14" s="44"/>
      <c r="S14" s="44"/>
      <c r="T14" s="44"/>
      <c r="U14" s="44"/>
      <c r="V14" s="44"/>
      <c r="W14" s="44"/>
      <c r="X14" s="44"/>
      <c r="Y14" s="44"/>
      <c r="Z14" s="44"/>
      <c r="AA14" s="44"/>
      <c r="AB14" s="44"/>
      <c r="AC14" s="92"/>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row>
    <row r="15" spans="1:64" s="39" customFormat="1" ht="55.8" customHeight="1" thickBot="1" x14ac:dyDescent="0.3">
      <c r="A15" s="13"/>
      <c r="B15" s="93" t="s">
        <v>42</v>
      </c>
      <c r="C15" s="53" t="s">
        <v>49</v>
      </c>
      <c r="D15" s="54">
        <v>1</v>
      </c>
      <c r="E15" s="95">
        <v>46130</v>
      </c>
      <c r="F15" s="122">
        <v>46132</v>
      </c>
      <c r="G15" s="17"/>
      <c r="H15" s="5">
        <f t="shared" si="0"/>
        <v>3</v>
      </c>
      <c r="I15" s="44"/>
      <c r="J15" s="44"/>
      <c r="K15" s="44"/>
      <c r="L15" s="44"/>
      <c r="M15" s="44"/>
      <c r="N15" s="44"/>
      <c r="O15" s="44"/>
      <c r="P15" s="44"/>
      <c r="Q15" s="44"/>
      <c r="R15" s="44"/>
      <c r="S15" s="44"/>
      <c r="T15" s="44"/>
      <c r="U15" s="48"/>
      <c r="V15" s="48"/>
      <c r="W15" s="44"/>
      <c r="X15" s="44"/>
      <c r="Y15" s="44"/>
      <c r="Z15" s="44"/>
      <c r="AA15" s="44"/>
      <c r="AB15" s="44"/>
      <c r="AC15" s="92"/>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row>
    <row r="16" spans="1:64" s="39" customFormat="1" ht="36.6" customHeight="1" thickBot="1" x14ac:dyDescent="0.3">
      <c r="A16" s="13"/>
      <c r="B16" s="93" t="s">
        <v>43</v>
      </c>
      <c r="C16" s="53" t="s">
        <v>49</v>
      </c>
      <c r="D16" s="54">
        <v>1</v>
      </c>
      <c r="E16" s="95">
        <v>46130</v>
      </c>
      <c r="F16" s="122">
        <v>46132</v>
      </c>
      <c r="G16" s="17"/>
      <c r="H16" s="5">
        <f t="shared" si="0"/>
        <v>3</v>
      </c>
      <c r="I16" s="44"/>
      <c r="J16" s="44"/>
      <c r="K16" s="44"/>
      <c r="L16" s="44"/>
      <c r="M16" s="44"/>
      <c r="N16" s="44"/>
      <c r="O16" s="44"/>
      <c r="P16" s="44"/>
      <c r="Q16" s="44"/>
      <c r="R16" s="44"/>
      <c r="S16" s="44"/>
      <c r="T16" s="44"/>
      <c r="U16" s="44"/>
      <c r="V16" s="44"/>
      <c r="W16" s="44"/>
      <c r="X16" s="44"/>
      <c r="Y16" s="44"/>
      <c r="Z16" s="44"/>
      <c r="AA16" s="44"/>
      <c r="AB16" s="44"/>
      <c r="AC16" s="92"/>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row>
    <row r="17" spans="1:64" s="39" customFormat="1" ht="76.2" customHeight="1" thickBot="1" x14ac:dyDescent="0.3">
      <c r="A17" s="13"/>
      <c r="B17" s="93" t="s">
        <v>44</v>
      </c>
      <c r="C17" s="53" t="s">
        <v>49</v>
      </c>
      <c r="D17" s="54">
        <v>1</v>
      </c>
      <c r="E17" s="95">
        <v>46130</v>
      </c>
      <c r="F17" s="122">
        <v>46132</v>
      </c>
      <c r="G17" s="17"/>
      <c r="H17" s="5">
        <f t="shared" si="0"/>
        <v>3</v>
      </c>
      <c r="I17" s="44"/>
      <c r="J17" s="44"/>
      <c r="K17" s="44"/>
      <c r="L17" s="44"/>
      <c r="M17" s="44"/>
      <c r="N17" s="44"/>
      <c r="O17" s="44"/>
      <c r="P17" s="44"/>
      <c r="Q17" s="44"/>
      <c r="R17" s="44"/>
      <c r="S17" s="44"/>
      <c r="T17" s="44"/>
      <c r="U17" s="44"/>
      <c r="V17" s="44"/>
      <c r="W17" s="44"/>
      <c r="X17" s="44"/>
      <c r="Y17" s="48"/>
      <c r="Z17" s="44"/>
      <c r="AA17" s="44"/>
      <c r="AB17" s="44"/>
      <c r="AC17" s="92"/>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row>
    <row r="18" spans="1:64" s="39" customFormat="1" ht="38.4" customHeight="1" thickBot="1" x14ac:dyDescent="0.3">
      <c r="A18" s="13"/>
      <c r="B18" s="120" t="s">
        <v>45</v>
      </c>
      <c r="C18" s="53" t="s">
        <v>49</v>
      </c>
      <c r="D18" s="54">
        <v>1</v>
      </c>
      <c r="E18" s="95">
        <v>46130</v>
      </c>
      <c r="F18" s="122">
        <v>46132</v>
      </c>
      <c r="G18" s="17"/>
      <c r="H18" s="5">
        <f t="shared" si="0"/>
        <v>3</v>
      </c>
      <c r="I18" s="58"/>
      <c r="J18" s="58"/>
      <c r="K18" s="58"/>
      <c r="L18" s="58"/>
      <c r="M18" s="58"/>
      <c r="N18" s="58"/>
      <c r="O18" s="58"/>
      <c r="P18" s="58"/>
      <c r="Q18" s="58"/>
      <c r="R18" s="58"/>
      <c r="S18" s="58"/>
      <c r="T18" s="58"/>
      <c r="U18" s="58"/>
      <c r="V18" s="58"/>
      <c r="W18" s="58"/>
      <c r="X18" s="58"/>
      <c r="Y18" s="58"/>
      <c r="Z18" s="58"/>
      <c r="AA18" s="58"/>
      <c r="AB18" s="58"/>
      <c r="AC18" s="133"/>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row>
    <row r="19" spans="1:64" s="39" customFormat="1" ht="84.6" customHeight="1" thickBot="1" x14ac:dyDescent="0.3">
      <c r="A19" s="13"/>
      <c r="B19" s="119" t="s">
        <v>46</v>
      </c>
      <c r="C19" s="53" t="s">
        <v>49</v>
      </c>
      <c r="D19" s="54">
        <v>1</v>
      </c>
      <c r="E19" s="95">
        <v>46130</v>
      </c>
      <c r="F19" s="122">
        <v>46132</v>
      </c>
      <c r="G19" s="17"/>
      <c r="H19" s="5">
        <f t="shared" si="0"/>
        <v>3</v>
      </c>
      <c r="I19" s="44"/>
      <c r="J19" s="92"/>
      <c r="K19" s="117"/>
      <c r="L19" s="44"/>
      <c r="M19" s="44"/>
      <c r="N19" s="44"/>
      <c r="O19" s="44"/>
      <c r="P19" s="44"/>
      <c r="Q19" s="44"/>
      <c r="R19" s="44"/>
      <c r="S19" s="44"/>
      <c r="T19" s="44"/>
      <c r="U19" s="44"/>
      <c r="V19" s="44"/>
      <c r="W19" s="44"/>
      <c r="X19" s="44"/>
      <c r="Y19" s="44"/>
      <c r="Z19" s="44"/>
      <c r="AA19" s="44"/>
      <c r="AB19" s="44"/>
      <c r="AC19" s="92"/>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row>
    <row r="20" spans="1:64" s="39" customFormat="1" ht="59.4" customHeight="1" thickBot="1" x14ac:dyDescent="0.3">
      <c r="A20" s="13"/>
      <c r="B20" s="116" t="s">
        <v>47</v>
      </c>
      <c r="C20" s="53" t="s">
        <v>49</v>
      </c>
      <c r="D20" s="54">
        <v>1</v>
      </c>
      <c r="E20" s="95">
        <v>46130</v>
      </c>
      <c r="F20" s="122">
        <v>46132</v>
      </c>
      <c r="G20" s="17"/>
      <c r="H20" s="5">
        <f t="shared" si="0"/>
        <v>3</v>
      </c>
      <c r="I20" s="44"/>
      <c r="J20" s="44"/>
      <c r="K20" s="44"/>
      <c r="L20" s="44"/>
      <c r="M20" s="44"/>
      <c r="N20" s="44"/>
      <c r="O20" s="44"/>
      <c r="P20" s="44"/>
      <c r="Q20" s="44"/>
      <c r="R20" s="44"/>
      <c r="S20" s="44"/>
      <c r="T20" s="44"/>
      <c r="U20" s="44"/>
      <c r="V20" s="44"/>
      <c r="W20" s="44"/>
      <c r="X20" s="44"/>
      <c r="Y20" s="44"/>
      <c r="Z20" s="44"/>
      <c r="AA20" s="44"/>
      <c r="AB20" s="44"/>
      <c r="AC20" s="92"/>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row>
    <row r="21" spans="1:64" s="39" customFormat="1" ht="30" customHeight="1" thickBot="1" x14ac:dyDescent="0.3">
      <c r="A21" s="13"/>
      <c r="B21" s="118" t="s">
        <v>19</v>
      </c>
      <c r="C21" s="55"/>
      <c r="D21" s="56"/>
      <c r="E21" s="97"/>
      <c r="F21" s="57"/>
      <c r="G21" s="17"/>
      <c r="H21" s="5" t="str">
        <f t="shared" si="0"/>
        <v/>
      </c>
      <c r="I21" s="44"/>
      <c r="J21" s="44"/>
      <c r="K21" s="44"/>
      <c r="L21" s="44"/>
      <c r="M21" s="44"/>
      <c r="N21" s="44"/>
      <c r="O21" s="44"/>
      <c r="P21" s="44"/>
      <c r="Q21" s="44"/>
      <c r="R21" s="44"/>
      <c r="S21" s="44"/>
      <c r="T21" s="44"/>
      <c r="U21" s="44"/>
      <c r="V21" s="44"/>
      <c r="W21" s="44"/>
      <c r="X21" s="44"/>
      <c r="Y21" s="44"/>
      <c r="Z21" s="44"/>
      <c r="AA21" s="44"/>
      <c r="AB21" s="44"/>
      <c r="AC21" s="92"/>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row>
    <row r="22" spans="1:64" s="39" customFormat="1" ht="30" customHeight="1" thickBot="1" x14ac:dyDescent="0.3">
      <c r="A22" s="13"/>
      <c r="B22" s="59" t="s">
        <v>20</v>
      </c>
      <c r="C22" s="60" t="s">
        <v>51</v>
      </c>
      <c r="D22" s="61">
        <v>1</v>
      </c>
      <c r="E22" s="96">
        <v>46130</v>
      </c>
      <c r="F22" s="123">
        <v>46132</v>
      </c>
      <c r="G22" s="17"/>
      <c r="H22" s="5">
        <f t="shared" si="0"/>
        <v>3</v>
      </c>
      <c r="I22" s="44"/>
      <c r="J22" s="44"/>
      <c r="K22" s="44"/>
      <c r="L22" s="44"/>
      <c r="M22" s="44"/>
      <c r="N22" s="44"/>
      <c r="O22" s="44"/>
      <c r="P22" s="44"/>
      <c r="Q22" s="44"/>
      <c r="R22" s="44"/>
      <c r="S22" s="44"/>
      <c r="T22" s="44"/>
      <c r="U22" s="44"/>
      <c r="V22" s="44"/>
      <c r="W22" s="44"/>
      <c r="X22" s="44"/>
      <c r="Y22" s="44"/>
      <c r="Z22" s="44"/>
      <c r="AA22" s="44"/>
      <c r="AB22" s="44"/>
      <c r="AC22" s="92"/>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row>
    <row r="23" spans="1:64" s="39" customFormat="1" ht="30" customHeight="1" thickBot="1" x14ac:dyDescent="0.3">
      <c r="A23" s="13"/>
      <c r="B23" s="59" t="s">
        <v>21</v>
      </c>
      <c r="C23" s="60" t="s">
        <v>51</v>
      </c>
      <c r="D23" s="61">
        <v>1</v>
      </c>
      <c r="E23" s="96">
        <v>46130</v>
      </c>
      <c r="F23" s="123">
        <v>46132</v>
      </c>
      <c r="G23" s="17"/>
      <c r="H23" s="5">
        <f t="shared" si="0"/>
        <v>3</v>
      </c>
      <c r="I23" s="66"/>
      <c r="J23" s="66"/>
      <c r="K23" s="66"/>
      <c r="L23" s="66"/>
      <c r="M23" s="66"/>
      <c r="N23" s="66"/>
      <c r="O23" s="66"/>
      <c r="P23" s="66"/>
      <c r="Q23" s="66"/>
      <c r="R23" s="66"/>
      <c r="S23" s="66"/>
      <c r="T23" s="66"/>
      <c r="U23" s="66"/>
      <c r="V23" s="66"/>
      <c r="W23" s="66"/>
      <c r="X23" s="66"/>
      <c r="Y23" s="66"/>
      <c r="Z23" s="66"/>
      <c r="AA23" s="66"/>
      <c r="AB23" s="66"/>
      <c r="AC23" s="133"/>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row>
    <row r="24" spans="1:64" s="39" customFormat="1" ht="30" customHeight="1" thickBot="1" x14ac:dyDescent="0.3">
      <c r="A24" s="13"/>
      <c r="B24" s="59" t="s">
        <v>22</v>
      </c>
      <c r="C24" s="60" t="s">
        <v>51</v>
      </c>
      <c r="D24" s="61">
        <v>1</v>
      </c>
      <c r="E24" s="96">
        <v>46130</v>
      </c>
      <c r="F24" s="123">
        <v>46132</v>
      </c>
      <c r="G24" s="17"/>
      <c r="H24" s="5">
        <f t="shared" si="0"/>
        <v>3</v>
      </c>
      <c r="I24" s="44"/>
      <c r="J24" s="44"/>
      <c r="K24" s="44"/>
      <c r="L24" s="44"/>
      <c r="M24" s="44"/>
      <c r="N24" s="44"/>
      <c r="O24" s="44"/>
      <c r="P24" s="44"/>
      <c r="Q24" s="44"/>
      <c r="R24" s="44"/>
      <c r="S24" s="44"/>
      <c r="T24" s="44"/>
      <c r="U24" s="44"/>
      <c r="V24" s="44"/>
      <c r="W24" s="44"/>
      <c r="X24" s="44"/>
      <c r="Y24" s="44"/>
      <c r="Z24" s="44"/>
      <c r="AA24" s="44"/>
      <c r="AB24" s="44"/>
      <c r="AC24" s="92"/>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row>
    <row r="25" spans="1:64" s="39" customFormat="1" ht="30" customHeight="1" thickBot="1" x14ac:dyDescent="0.3">
      <c r="A25" s="13"/>
      <c r="B25" s="59" t="s">
        <v>23</v>
      </c>
      <c r="C25" s="60" t="s">
        <v>51</v>
      </c>
      <c r="D25" s="61">
        <v>1</v>
      </c>
      <c r="E25" s="96">
        <v>46130</v>
      </c>
      <c r="F25" s="123">
        <v>46132</v>
      </c>
      <c r="G25" s="17"/>
      <c r="H25" s="5">
        <f t="shared" si="0"/>
        <v>3</v>
      </c>
      <c r="I25" s="44"/>
      <c r="J25" s="44"/>
      <c r="K25" s="44"/>
      <c r="L25" s="44"/>
      <c r="M25" s="44"/>
      <c r="N25" s="44"/>
      <c r="O25" s="44"/>
      <c r="P25" s="44"/>
      <c r="Q25" s="44"/>
      <c r="R25" s="44"/>
      <c r="S25" s="44"/>
      <c r="T25" s="44"/>
      <c r="U25" s="44"/>
      <c r="V25" s="44"/>
      <c r="W25" s="44"/>
      <c r="X25" s="44"/>
      <c r="Y25" s="44"/>
      <c r="Z25" s="44"/>
      <c r="AA25" s="44"/>
      <c r="AB25" s="44"/>
      <c r="AC25" s="92"/>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row>
    <row r="26" spans="1:64" s="39" customFormat="1" ht="30" customHeight="1" thickBot="1" x14ac:dyDescent="0.3">
      <c r="A26" s="13"/>
      <c r="B26" s="62" t="s">
        <v>24</v>
      </c>
      <c r="C26" s="63"/>
      <c r="D26" s="64"/>
      <c r="E26" s="99"/>
      <c r="F26" s="65"/>
      <c r="G26" s="17"/>
      <c r="H26" s="5" t="str">
        <f t="shared" si="0"/>
        <v/>
      </c>
      <c r="I26" s="44"/>
      <c r="J26" s="44"/>
      <c r="K26" s="44"/>
      <c r="L26" s="44"/>
      <c r="M26" s="44"/>
      <c r="N26" s="44"/>
      <c r="O26" s="44"/>
      <c r="P26" s="44"/>
      <c r="Q26" s="44"/>
      <c r="R26" s="44"/>
      <c r="S26" s="44"/>
      <c r="T26" s="44"/>
      <c r="U26" s="44"/>
      <c r="V26" s="44"/>
      <c r="W26" s="44"/>
      <c r="X26" s="44"/>
      <c r="Y26" s="44"/>
      <c r="Z26" s="44"/>
      <c r="AA26" s="44"/>
      <c r="AB26" s="44"/>
      <c r="AC26" s="92"/>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row>
    <row r="27" spans="1:64" s="39" customFormat="1" ht="30" customHeight="1" thickBot="1" x14ac:dyDescent="0.3">
      <c r="A27" s="13"/>
      <c r="B27" s="67" t="s">
        <v>25</v>
      </c>
      <c r="C27" s="68" t="s">
        <v>14</v>
      </c>
      <c r="D27" s="69">
        <v>1</v>
      </c>
      <c r="E27" s="98">
        <v>46132</v>
      </c>
      <c r="F27" s="124">
        <v>46132</v>
      </c>
      <c r="G27" s="17"/>
      <c r="H27" s="5">
        <f t="shared" si="0"/>
        <v>1</v>
      </c>
      <c r="I27" s="44"/>
      <c r="J27" s="44"/>
      <c r="K27" s="44"/>
      <c r="L27" s="44"/>
      <c r="M27" s="44"/>
      <c r="N27" s="44"/>
      <c r="O27" s="44"/>
      <c r="P27" s="44"/>
      <c r="Q27" s="44"/>
      <c r="R27" s="44"/>
      <c r="S27" s="44"/>
      <c r="T27" s="44"/>
      <c r="U27" s="44"/>
      <c r="V27" s="44"/>
      <c r="W27" s="44"/>
      <c r="X27" s="44"/>
      <c r="Y27" s="44"/>
      <c r="Z27" s="44"/>
      <c r="AA27" s="44"/>
      <c r="AB27" s="44"/>
      <c r="AC27" s="92"/>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row>
    <row r="28" spans="1:64" s="39" customFormat="1" ht="30" customHeight="1" thickBot="1" x14ac:dyDescent="0.3">
      <c r="A28" s="13"/>
      <c r="B28" s="70"/>
      <c r="C28" s="71"/>
      <c r="D28" s="72"/>
      <c r="E28" s="73"/>
      <c r="F28" s="73"/>
      <c r="G28" s="17"/>
      <c r="H28" s="5" t="str">
        <f t="shared" si="0"/>
        <v/>
      </c>
      <c r="I28" s="38"/>
      <c r="J28" s="38"/>
      <c r="K28" s="38"/>
      <c r="L28" s="38"/>
      <c r="M28" s="38"/>
      <c r="N28" s="38"/>
      <c r="O28" s="38"/>
      <c r="P28" s="38"/>
      <c r="Q28" s="38"/>
      <c r="R28" s="38"/>
      <c r="S28" s="38"/>
      <c r="T28" s="38"/>
      <c r="U28" s="38"/>
      <c r="V28" s="38"/>
      <c r="W28" s="38"/>
      <c r="X28" s="38"/>
      <c r="Y28" s="38"/>
      <c r="Z28" s="38"/>
      <c r="AA28" s="38"/>
      <c r="AB28" s="38"/>
      <c r="AC28" s="38"/>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row>
    <row r="29" spans="1:64" s="39" customFormat="1" ht="30" customHeight="1" thickBot="1" x14ac:dyDescent="0.3">
      <c r="A29" s="14"/>
      <c r="B29" s="74" t="s">
        <v>26</v>
      </c>
      <c r="C29" s="75"/>
      <c r="D29" s="76"/>
      <c r="E29" s="77"/>
      <c r="F29" s="78"/>
      <c r="G29" s="17"/>
      <c r="H29" s="6" t="str">
        <f t="shared" si="0"/>
        <v/>
      </c>
      <c r="I29" s="79"/>
      <c r="J29" s="79"/>
      <c r="K29" s="79"/>
      <c r="L29" s="79"/>
      <c r="M29" s="79"/>
      <c r="N29" s="79"/>
      <c r="O29" s="79"/>
      <c r="P29" s="79"/>
      <c r="Q29" s="79"/>
      <c r="R29" s="79"/>
      <c r="S29" s="79"/>
      <c r="T29" s="79"/>
      <c r="U29" s="79"/>
      <c r="V29" s="79"/>
      <c r="W29" s="79"/>
      <c r="X29" s="79"/>
      <c r="Y29" s="79"/>
      <c r="Z29" s="79"/>
      <c r="AA29" s="79"/>
      <c r="AB29" s="79"/>
      <c r="AC29" s="79"/>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row>
    <row r="30" spans="1:64" ht="30" customHeight="1" x14ac:dyDescent="0.25">
      <c r="G30" s="3"/>
    </row>
    <row r="31" spans="1:64" ht="30" customHeight="1" x14ac:dyDescent="0.25">
      <c r="C31" s="16"/>
      <c r="F31" s="15"/>
    </row>
    <row r="32" spans="1:64" ht="30" customHeight="1" x14ac:dyDescent="0.25">
      <c r="C32"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9">
    <cfRule type="dataBar" priority="3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7">
    <cfRule type="expression" dxfId="15" priority="15">
      <formula>AND(TODAY()&gt;=I$5, TODAY()&lt;J$5)</formula>
    </cfRule>
  </conditionalFormatting>
  <conditionalFormatting sqref="I24:BL27">
    <cfRule type="expression" dxfId="14" priority="51" stopIfTrue="1">
      <formula>AND(task_end&gt;=I$5,task_start&lt;J$5)</formula>
    </cfRule>
  </conditionalFormatting>
  <conditionalFormatting sqref="AC9:AE9">
    <cfRule type="expression" dxfId="13" priority="14" stopIfTrue="1">
      <formula>AND(task_end&gt;=AC$5,task_start&lt;AD$5)</formula>
    </cfRule>
  </conditionalFormatting>
  <conditionalFormatting sqref="AC10:AE10">
    <cfRule type="expression" dxfId="12" priority="13" stopIfTrue="1">
      <formula>AND(task_end&gt;=AC$5,task_start&lt;AD$5)</formula>
    </cfRule>
  </conditionalFormatting>
  <conditionalFormatting sqref="AD11:AF11">
    <cfRule type="expression" dxfId="11" priority="12" stopIfTrue="1">
      <formula>AND(task_end&gt;=AD$5,task_start&lt;AE$5)</formula>
    </cfRule>
  </conditionalFormatting>
  <conditionalFormatting sqref="AD12:AF12">
    <cfRule type="expression" dxfId="10" priority="11" stopIfTrue="1">
      <formula>AND(task_end&gt;=AD$5,task_start&lt;AE$5)</formula>
    </cfRule>
  </conditionalFormatting>
  <conditionalFormatting sqref="AC11:AE11">
    <cfRule type="expression" dxfId="9" priority="10" stopIfTrue="1">
      <formula>AND(task_end&gt;=AC$5,task_start&lt;AD$5)</formula>
    </cfRule>
  </conditionalFormatting>
  <conditionalFormatting sqref="AC14:AE14">
    <cfRule type="expression" dxfId="8" priority="9" stopIfTrue="1">
      <formula>AND(task_end&gt;=AC$5,task_start&lt;AD$5)</formula>
    </cfRule>
  </conditionalFormatting>
  <conditionalFormatting sqref="AC15:AE15">
    <cfRule type="expression" dxfId="7" priority="8" stopIfTrue="1">
      <formula>AND(task_end&gt;=AC$5,task_start&lt;AD$5)</formula>
    </cfRule>
  </conditionalFormatting>
  <conditionalFormatting sqref="AC16:AE16">
    <cfRule type="expression" dxfId="6" priority="7" stopIfTrue="1">
      <formula>AND(task_end&gt;=AC$5,task_start&lt;AD$5)</formula>
    </cfRule>
  </conditionalFormatting>
  <conditionalFormatting sqref="AC17:AE17">
    <cfRule type="expression" dxfId="5" priority="6" stopIfTrue="1">
      <formula>AND(task_end&gt;=AC$5,task_start&lt;AD$5)</formula>
    </cfRule>
  </conditionalFormatting>
  <conditionalFormatting sqref="AC18:AE18">
    <cfRule type="expression" dxfId="4" priority="5" stopIfTrue="1">
      <formula>AND(task_end&gt;=AC$5,task_start&lt;AD$5)</formula>
    </cfRule>
  </conditionalFormatting>
  <conditionalFormatting sqref="AC19:AE19">
    <cfRule type="expression" dxfId="3" priority="4" stopIfTrue="1">
      <formula>AND(task_end&gt;=AC$5,task_start&lt;AD$5)</formula>
    </cfRule>
  </conditionalFormatting>
  <conditionalFormatting sqref="AC20:AE20">
    <cfRule type="expression" dxfId="2" priority="3" stopIfTrue="1">
      <formula>AND(task_end&gt;=AC$5,task_start&lt;AD$5)</formula>
    </cfRule>
  </conditionalFormatting>
  <conditionalFormatting sqref="AC22:AE22">
    <cfRule type="expression" dxfId="1" priority="2" stopIfTrue="1">
      <formula>AND(task_end&gt;=AC$5,task_start&lt;AD$5)</formula>
    </cfRule>
  </conditionalFormatting>
  <conditionalFormatting sqref="AC23:AE23">
    <cfRule type="expression" dxfId="0" priority="1" stopIfTrue="1">
      <formula>AND(task_end&gt;=AC$5,task_start&lt;AD$5)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83" t="s">
        <v>4</v>
      </c>
      <c r="B2" s="8"/>
    </row>
    <row r="3" spans="1:2" s="11" customFormat="1" ht="27" customHeight="1" x14ac:dyDescent="0.25">
      <c r="A3" s="84"/>
      <c r="B3" s="12"/>
    </row>
    <row r="4" spans="1:2" s="10" customFormat="1" ht="30" x14ac:dyDescent="0.7">
      <c r="A4" s="85" t="s">
        <v>27</v>
      </c>
    </row>
    <row r="5" spans="1:2" ht="74.25" customHeight="1" x14ac:dyDescent="0.25">
      <c r="A5" s="86" t="s">
        <v>28</v>
      </c>
    </row>
    <row r="6" spans="1:2" ht="26.25" customHeight="1" x14ac:dyDescent="0.25">
      <c r="A6" s="85" t="s">
        <v>29</v>
      </c>
    </row>
    <row r="7" spans="1:2" s="7" customFormat="1" ht="205.2" customHeight="1" x14ac:dyDescent="0.25">
      <c r="A7" s="87" t="s">
        <v>30</v>
      </c>
    </row>
    <row r="8" spans="1:2" s="10" customFormat="1" ht="30" x14ac:dyDescent="0.7">
      <c r="A8" s="85" t="s">
        <v>31</v>
      </c>
    </row>
    <row r="9" spans="1:2" ht="41.4" x14ac:dyDescent="0.25">
      <c r="A9" s="86" t="s">
        <v>32</v>
      </c>
    </row>
    <row r="10" spans="1:2" s="7" customFormat="1" ht="28.2" customHeight="1" x14ac:dyDescent="0.25">
      <c r="A10" s="88" t="s">
        <v>33</v>
      </c>
    </row>
    <row r="11" spans="1:2" s="10" customFormat="1" ht="30" x14ac:dyDescent="0.7">
      <c r="A11" s="85" t="s">
        <v>34</v>
      </c>
    </row>
    <row r="12" spans="1:2" ht="27.6" x14ac:dyDescent="0.25">
      <c r="A12" s="86" t="s">
        <v>35</v>
      </c>
    </row>
    <row r="13" spans="1:2" s="7" customFormat="1" ht="28.2" customHeight="1" x14ac:dyDescent="0.25">
      <c r="A13" s="88" t="s">
        <v>36</v>
      </c>
    </row>
    <row r="14" spans="1:2" s="10" customFormat="1" ht="30" x14ac:dyDescent="0.7">
      <c r="A14" s="85" t="s">
        <v>37</v>
      </c>
    </row>
    <row r="15" spans="1:2" ht="75" customHeight="1" x14ac:dyDescent="0.25">
      <c r="A15" s="86" t="s">
        <v>38</v>
      </c>
    </row>
    <row r="16" spans="1:2" ht="69" x14ac:dyDescent="0.25">
      <c r="A16" s="86" t="s">
        <v>39</v>
      </c>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 Becker</dc:creator>
  <cp:keywords/>
  <dc:description/>
  <cp:lastModifiedBy>Cam Becker</cp:lastModifiedBy>
  <cp:revision/>
  <dcterms:created xsi:type="dcterms:W3CDTF">2026-02-12T18:44:55Z</dcterms:created>
  <dcterms:modified xsi:type="dcterms:W3CDTF">2026-04-21T19:53:02Z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